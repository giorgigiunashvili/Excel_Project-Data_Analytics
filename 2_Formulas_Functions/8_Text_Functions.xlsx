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Giorgi\Desktop\Job strategy 2\Data Analyst_BI\Excel\Excel_Data_Analytics_Course-main\2_Formulas_Functions\"/>
    </mc:Choice>
  </mc:AlternateContent>
  <xr:revisionPtr revIDLastSave="0" documentId="13_ncr:1_{903C92EB-8760-41F7-ACED-3F131AD470D7}" xr6:coauthVersionLast="47" xr6:coauthVersionMax="47" xr10:uidLastSave="{00000000-0000-0000-0000-000000000000}"/>
  <bookViews>
    <workbookView xWindow="14160" yWindow="240" windowWidth="14700" windowHeight="15525" firstSheet="1" activeTab="4" xr2:uid="{00000000-000D-0000-FFFF-FFFF00000000}"/>
  </bookViews>
  <sheets>
    <sheet name="Data" sheetId="8" r:id="rId1"/>
    <sheet name="Text_Search" sheetId="11" r:id="rId2"/>
    <sheet name="Text_Combination" sheetId="9" r:id="rId3"/>
    <sheet name="Text_Extraction" sheetId="10" r:id="rId4"/>
    <sheet name="Skills" sheetId="12" r:id="rId5"/>
  </sheets>
  <definedNames>
    <definedName name="_xlnm._FilterDatabase" localSheetId="4" hidden="1">Skills!$A$9:$B$25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5" i="12" l="1"/>
  <c r="B11" i="12"/>
  <c r="B12" i="12"/>
  <c r="B15" i="12"/>
  <c r="B18" i="12"/>
  <c r="B21" i="12"/>
  <c r="B23" i="12"/>
  <c r="B22" i="12"/>
  <c r="B16" i="12"/>
  <c r="B24" i="12"/>
  <c r="B17" i="12"/>
  <c r="B19" i="12"/>
  <c r="B20" i="12"/>
  <c r="B13" i="12"/>
  <c r="B10" i="12"/>
  <c r="B9" i="12"/>
  <c r="B14" i="12"/>
  <c r="A9" i="12" a="1"/>
  <c r="A9" i="12" s="1"/>
  <c r="A6" i="12" a="1"/>
  <c r="A6" i="12" s="1"/>
  <c r="A3" i="12"/>
  <c r="T3" i="8"/>
  <c r="U3" i="8" s="1"/>
  <c r="T4" i="8"/>
  <c r="U4" i="8" s="1"/>
  <c r="V4" i="8" s="1"/>
  <c r="T5" i="8"/>
  <c r="U5" i="8"/>
  <c r="V5" i="8"/>
  <c r="T6" i="8"/>
  <c r="U6" i="8"/>
  <c r="V6" i="8"/>
  <c r="T7" i="8"/>
  <c r="U7" i="8" s="1"/>
  <c r="T8" i="8"/>
  <c r="U8" i="8"/>
  <c r="V8" i="8" s="1"/>
  <c r="T9" i="8"/>
  <c r="U9" i="8"/>
  <c r="V9" i="8"/>
  <c r="T10" i="8"/>
  <c r="U10" i="8"/>
  <c r="V10" i="8"/>
  <c r="T11" i="8"/>
  <c r="U11" i="8" s="1"/>
  <c r="T12" i="8"/>
  <c r="U12" i="8"/>
  <c r="V12" i="8"/>
  <c r="T13" i="8"/>
  <c r="U13" i="8"/>
  <c r="V13" i="8"/>
  <c r="T14" i="8"/>
  <c r="U14" i="8"/>
  <c r="V14" i="8"/>
  <c r="T15" i="8"/>
  <c r="U15" i="8" s="1"/>
  <c r="T16" i="8"/>
  <c r="U16" i="8"/>
  <c r="V16" i="8"/>
  <c r="T17" i="8"/>
  <c r="U17" i="8"/>
  <c r="V17" i="8"/>
  <c r="T18" i="8"/>
  <c r="U18" i="8"/>
  <c r="V18" i="8"/>
  <c r="T19" i="8"/>
  <c r="U19" i="8" s="1"/>
  <c r="T20" i="8"/>
  <c r="U20" i="8"/>
  <c r="V20" i="8"/>
  <c r="T21" i="8"/>
  <c r="U21" i="8"/>
  <c r="V21" i="8"/>
  <c r="V2" i="8"/>
  <c r="T2" i="8"/>
  <c r="O2" i="8"/>
  <c r="O3" i="8"/>
  <c r="O4" i="8"/>
  <c r="O5" i="8"/>
  <c r="O6" i="8"/>
  <c r="O7" i="8"/>
  <c r="O8" i="8"/>
  <c r="O9" i="8"/>
  <c r="O10" i="8"/>
  <c r="O11" i="8"/>
  <c r="O12" i="8"/>
  <c r="O13" i="8"/>
  <c r="O14" i="8"/>
  <c r="O15" i="8"/>
  <c r="O16" i="8"/>
  <c r="O17" i="8"/>
  <c r="O18" i="8"/>
  <c r="O19" i="8"/>
  <c r="O20" i="8"/>
  <c r="O21" i="8"/>
  <c r="O1"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2" i="8"/>
  <c r="J3" i="8"/>
  <c r="J4" i="8"/>
  <c r="J5" i="8"/>
  <c r="J6" i="8"/>
  <c r="J7" i="8"/>
  <c r="J8" i="8"/>
  <c r="J9" i="8"/>
  <c r="J10" i="8"/>
  <c r="J11" i="8"/>
  <c r="J12" i="8"/>
  <c r="J13" i="8"/>
  <c r="J14" i="8"/>
  <c r="J15" i="8"/>
  <c r="J16" i="8"/>
  <c r="J17" i="8"/>
  <c r="J18" i="8"/>
  <c r="J19" i="8"/>
  <c r="J20" i="8"/>
  <c r="J21"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19" i="8" l="1"/>
  <c r="V15" i="8"/>
  <c r="V11" i="8"/>
  <c r="V7" i="8"/>
  <c r="V3" i="8"/>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<sst xmlns="http://schemas.openxmlformats.org/spreadsheetml/2006/main" count="608" uniqueCount="95">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</sst>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A410-4831-8C24-15DC3C8D903F}"/>
            </c:ext>
          </c:extLst>
        </c:ser>
        <c:dLbls>
          <c:showLegendKey val="0"/>
          <c:showVal val="0"/>
          <c:showCatName val="0"/>
          <c:showSerName val="0"/>
          <c:showPercent val="0"/>
          <c:showBubbleSize val="0"/>
        </c:dLbls>
        <c:gapWidth val="182"/>
        <c:axId val="508923472"/>
        <c:axId val="508922032"/>
      </c:barChart>
      <c:catAx>
        <c:axId val="50892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22032"/>
        <c:crosses val="autoZero"/>
        <c:auto val="1"/>
        <c:lblAlgn val="ctr"/>
        <c:lblOffset val="100"/>
        <c:noMultiLvlLbl val="0"/>
      </c:catAx>
      <c:valAx>
        <c:axId val="50892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23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166688</xdr:colOff>
      <xdr:row>9</xdr:row>
      <xdr:rowOff>13491</xdr:rowOff>
    </xdr:from>
    <xdr:to>
      <xdr:col>10</xdr:col>
      <xdr:colOff>373063</xdr:colOff>
      <xdr:row>25</xdr:row>
      <xdr:rowOff>166686</xdr:rowOff>
    </xdr:to>
    <xdr:graphicFrame macro="">
      <xdr:nvGraphicFramePr>
        <xdr:cNvPr id="2" name="Chart 1">
          <a:extLst>
            <a:ext uri="{FF2B5EF4-FFF2-40B4-BE49-F238E27FC236}">
              <a16:creationId xmlns:a16="http://schemas.microsoft.com/office/drawing/2014/main" id="{724820F9-86C0-6FE2-9276-2C049809E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Normal="100" workbookViewId="0">
      <selection activeCell="T2" sqref="T1:V1048576"/>
    </sheetView>
  </sheetViews>
  <sheetFormatPr defaultRowHeight="15" x14ac:dyDescent="0.25"/>
  <cols>
    <col min="1" max="1" width="17.5703125" customWidth="1"/>
    <col min="2" max="2" width="14.28515625" hidden="1" customWidth="1"/>
    <col min="3" max="3" width="27.28515625" hidden="1" customWidth="1"/>
    <col min="4" max="4" width="17.5703125" style="9" hidden="1" customWidth="1"/>
    <col min="5" max="5" width="26.28515625" hidden="1" customWidth="1"/>
    <col min="6" max="6" width="11" hidden="1" customWidth="1"/>
    <col min="7" max="7" width="26.5703125" customWidth="1"/>
    <col min="8" max="8" width="43.140625" customWidth="1"/>
    <col min="9" max="9" width="8.85546875" customWidth="1"/>
    <col min="10" max="10" width="34.7109375" hidden="1" customWidth="1"/>
    <col min="11" max="11" width="8.85546875" customWidth="1"/>
    <col min="12" max="12" width="13.28515625" hidden="1" customWidth="1"/>
    <col min="13" max="13" width="15.42578125" hidden="1" customWidth="1"/>
    <col min="14" max="14" width="8.85546875" hidden="1" customWidth="1"/>
    <col min="15" max="15" width="18.85546875" hidden="1" customWidth="1"/>
    <col min="17" max="22"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tr">
        <f>RIGHT(A2,3)</f>
        <v>548</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s="14" t="str">
        <f t="shared" ref="O2:O21" si="0">RIGHT(A3,3)</f>
        <v>549</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1">_xlfn.TEXTJOIN(" ",TRUE,F3:G3)</f>
        <v>203 Birch St Chicago, IL, 60601</v>
      </c>
      <c r="L3" t="str" cm="1">
        <f t="array" ref="L3:M3">_xlfn.TEXTSPLIT(B3," ",)</f>
        <v>Michael</v>
      </c>
      <c r="M3" t="str">
        <v>Scott</v>
      </c>
      <c r="O3" s="14" t="str">
        <f t="shared" si="0"/>
        <v>550</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1"/>
        <v>790 Pine St Chicago, IL, 60601</v>
      </c>
      <c r="L4" t="str" cm="1">
        <f t="array" ref="L4:M4">_xlfn.TEXTSPLIT(B4," ",)</f>
        <v>Kevin</v>
      </c>
      <c r="M4" t="str">
        <v>Malone</v>
      </c>
      <c r="O4" s="14" t="str">
        <f t="shared" si="0"/>
        <v>551</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1"/>
        <v>457 Oak St San Jose, CA, 95101</v>
      </c>
      <c r="L5" t="str" cm="1">
        <f t="array" ref="L5:M5">_xlfn.TEXTSPLIT(B5," ",)</f>
        <v>Pam</v>
      </c>
      <c r="M5" t="str">
        <v>Beesly</v>
      </c>
      <c r="O5" s="14" t="str">
        <f t="shared" si="0"/>
        <v>552</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1"/>
        <v>459 Oak St Philadelphia, PA, 19101</v>
      </c>
      <c r="L6" t="str" cm="1">
        <f t="array" ref="L6:M6">_xlfn.TEXTSPLIT(B6," ",)</f>
        <v>Jim</v>
      </c>
      <c r="M6" t="str">
        <v>Halpert</v>
      </c>
      <c r="O6" s="14" t="str">
        <f t="shared" si="0"/>
        <v>553</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1"/>
        <v>204 Birch St Philadelphia, PA, 19101</v>
      </c>
      <c r="L7" t="str" cm="1">
        <f t="array" ref="L7:M7">_xlfn.TEXTSPLIT(B7," ",)</f>
        <v>Ryan</v>
      </c>
      <c r="M7" t="str">
        <v>Howard</v>
      </c>
      <c r="O7" s="14" t="str">
        <f t="shared" si="0"/>
        <v>554</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1"/>
        <v>790 Pine St Chicago, IL, 60601</v>
      </c>
      <c r="L8" t="str" cm="1">
        <f t="array" ref="L8:M8">_xlfn.TEXTSPLIT(B8," ",)</f>
        <v>Kevin</v>
      </c>
      <c r="M8" t="str">
        <v>Malone</v>
      </c>
      <c r="O8" s="14" t="str">
        <f t="shared" si="0"/>
        <v>555</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1"/>
        <v>204 Birch St Philadelphia, PA, 19101</v>
      </c>
      <c r="L9" t="str" cm="1">
        <f t="array" ref="L9:M9">_xlfn.TEXTSPLIT(B9," ",)</f>
        <v>Ryan</v>
      </c>
      <c r="M9" t="str">
        <v>Howard</v>
      </c>
      <c r="O9" s="14" t="str">
        <f t="shared" si="0"/>
        <v>556</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1"/>
        <v>123 Elm St Chicago, IL, 60601</v>
      </c>
      <c r="L10" t="str" cm="1">
        <f t="array" ref="L10:M10">_xlfn.TEXTSPLIT(B10," ",)</f>
        <v>Stanley</v>
      </c>
      <c r="M10" t="str">
        <v>Hudson</v>
      </c>
      <c r="O10" s="14" t="str">
        <f t="shared" si="0"/>
        <v>557</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1"/>
        <v>123 Elm St Los Angeles, CA, 90001</v>
      </c>
      <c r="L11" t="str" cm="1">
        <f t="array" ref="L11:M11">_xlfn.TEXTSPLIT(B11," ",)</f>
        <v>Angela</v>
      </c>
      <c r="M11" t="str">
        <v>Martin</v>
      </c>
      <c r="O11" s="14" t="str">
        <f t="shared" si="0"/>
        <v>558</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1"/>
        <v>123 Elm St San Diego, CA, 92101</v>
      </c>
      <c r="L12" t="str" cm="1">
        <f t="array" ref="L12:M12">_xlfn.TEXTSPLIT(B12," ",)</f>
        <v>Dwight</v>
      </c>
      <c r="M12" t="str">
        <v>Schrute</v>
      </c>
      <c r="O12" s="14" t="str">
        <f t="shared" si="0"/>
        <v>559</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1"/>
        <v>202 Birch St Chicago, IL, 60601</v>
      </c>
      <c r="L13" t="str" cm="1">
        <f t="array" ref="L13:M13">_xlfn.TEXTSPLIT(B13," ",)</f>
        <v>Oscar</v>
      </c>
      <c r="M13" t="str">
        <v>Martinez</v>
      </c>
      <c r="O13" s="14" t="str">
        <f t="shared" si="0"/>
        <v>560</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1"/>
        <v>204 Birch St Philadelphia, PA, 19101</v>
      </c>
      <c r="L14" t="str" cm="1">
        <f t="array" ref="L14:M14">_xlfn.TEXTSPLIT(B14," ",)</f>
        <v>Ryan</v>
      </c>
      <c r="M14" t="str">
        <v>Howard</v>
      </c>
      <c r="O14" s="14" t="str">
        <f t="shared" si="0"/>
        <v>561</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1"/>
        <v>123 Elm St Chicago, IL, 60601</v>
      </c>
      <c r="L15" t="str" cm="1">
        <f t="array" ref="L15:M15">_xlfn.TEXTSPLIT(B15," ",)</f>
        <v>Phyllis</v>
      </c>
      <c r="M15" t="str">
        <v>Vance</v>
      </c>
      <c r="O15" s="14" t="str">
        <f t="shared" si="0"/>
        <v>562</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1"/>
        <v>456 Oak St Chicago, IL, 60601</v>
      </c>
      <c r="L16" t="str" cm="1">
        <f t="array" ref="L16:M16">_xlfn.TEXTSPLIT(B16," ",)</f>
        <v>Meredith</v>
      </c>
      <c r="M16" t="str">
        <v>Palmer</v>
      </c>
      <c r="O16" s="14" t="str">
        <f t="shared" si="0"/>
        <v>563</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1"/>
        <v>203 Birch St Chicago, IL, 60602</v>
      </c>
      <c r="L17" t="str" cm="1">
        <f t="array" ref="L17:M17">_xlfn.TEXTSPLIT(B17," ",)</f>
        <v>Michael</v>
      </c>
      <c r="M17" t="str">
        <v>Scott</v>
      </c>
      <c r="O17" s="14" t="str">
        <f t="shared" si="0"/>
        <v>564</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1"/>
        <v>459 Oak St Philadelphia, PA, 19101</v>
      </c>
      <c r="L18" t="str" cm="1">
        <f t="array" ref="L18:M18">_xlfn.TEXTSPLIT(B18," ",)</f>
        <v>Jim</v>
      </c>
      <c r="M18" t="str">
        <v>Halpert</v>
      </c>
      <c r="O18" s="14" t="str">
        <f t="shared" si="0"/>
        <v>565</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1"/>
        <v>456 Oak St New York, NY, 10001</v>
      </c>
      <c r="L19" t="str" cm="1">
        <f t="array" ref="L19:M19">_xlfn.TEXTSPLIT(B19," ",)</f>
        <v>Kelly</v>
      </c>
      <c r="M19" t="str">
        <v>Kapoor</v>
      </c>
      <c r="O19" s="14" t="str">
        <f t="shared" si="0"/>
        <v>566</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1"/>
        <v>459 Oak St Philadelphia, PA, 19101</v>
      </c>
      <c r="L20" t="str" cm="1">
        <f t="array" ref="L20:M20">_xlfn.TEXTSPLIT(B20," ",)</f>
        <v>Jim</v>
      </c>
      <c r="M20" t="str">
        <v>Halpert</v>
      </c>
      <c r="O20" s="14" t="str">
        <f t="shared" si="0"/>
        <v>567</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1"/>
        <v>459 Oak St New York, NY, 10001</v>
      </c>
      <c r="L21" t="str" cm="1">
        <f t="array" ref="L21:M21">_xlfn.TEXTSPLIT(B21," ",)</f>
        <v>Jim</v>
      </c>
      <c r="M21" t="str">
        <v>Halpert</v>
      </c>
      <c r="O21" s="14" t="str">
        <f t="shared" si="0"/>
        <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D1"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H1"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B9" sqref="B9:B25"/>
    </sheetView>
  </sheetViews>
  <sheetFormatPr defaultRowHeight="15" x14ac:dyDescent="0.25"/>
  <cols>
    <col min="1" max="1" width="24.42578125" customWidth="1"/>
    <col min="2" max="2" width="19.85546875" bestFit="1" customWidth="1"/>
  </cols>
  <sheetData>
    <row r="2" spans="1:75" x14ac:dyDescent="0.25">
      <c r="A2" s="15" t="s">
        <v>94</v>
      </c>
      <c r="B2" s="16"/>
    </row>
    <row r="3" spans="1:75" x14ac:dyDescent="0.25">
      <c r="A3" t="str">
        <f>_xlfn.TEXTJOIN(", ", TRUE, 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COUNTIF($6:$6,A10)</f>
        <v>12</v>
      </c>
    </row>
    <row r="11" spans="1:75" x14ac:dyDescent="0.25">
      <c r="A11" s="1" t="str">
        <v>Spark</v>
      </c>
      <c r="B11" s="1">
        <f>COUNTIF($6:$6,A11)</f>
        <v>2</v>
      </c>
    </row>
    <row r="12" spans="1:75" x14ac:dyDescent="0.25">
      <c r="A12" s="1" t="str">
        <v>Python</v>
      </c>
      <c r="B12" s="1">
        <f>COUNTIF($6:$6,A12)</f>
        <v>2</v>
      </c>
    </row>
    <row r="13" spans="1:75" x14ac:dyDescent="0.25">
      <c r="A13" s="1" t="str">
        <v>GCP</v>
      </c>
      <c r="B13" s="1">
        <f>COUNTIF($6:$6,A13)</f>
        <v>4</v>
      </c>
    </row>
    <row r="14" spans="1:75" x14ac:dyDescent="0.25">
      <c r="A14" s="1" t="str">
        <v>Power BI</v>
      </c>
      <c r="B14" s="1">
        <f>COUNTIF($6:$6,A14)</f>
        <v>5</v>
      </c>
    </row>
    <row r="15" spans="1:75" x14ac:dyDescent="0.25">
      <c r="A15" s="1" t="str">
        <v>Airflow</v>
      </c>
      <c r="B15" s="1">
        <f>COUNTIF($6:$6,A15)</f>
        <v>6</v>
      </c>
    </row>
    <row r="16" spans="1:75" x14ac:dyDescent="0.25">
      <c r="A16" s="1" t="str">
        <v>Hadoop</v>
      </c>
      <c r="B16" s="1">
        <f>COUNTIF($6:$6,A16)</f>
        <v>7</v>
      </c>
    </row>
    <row r="17" spans="1:2" x14ac:dyDescent="0.25">
      <c r="A17" s="1" t="str">
        <v>R</v>
      </c>
      <c r="B17" s="1">
        <f>COUNTIF($6:$6,A17)</f>
        <v>6</v>
      </c>
    </row>
    <row r="18" spans="1:2" x14ac:dyDescent="0.25">
      <c r="A18" s="1" t="str">
        <v>Azure</v>
      </c>
      <c r="B18" s="1">
        <f>COUNTIF($6:$6,A18)</f>
        <v>4</v>
      </c>
    </row>
    <row r="19" spans="1:2" x14ac:dyDescent="0.25">
      <c r="A19" s="1" t="str">
        <v>Java</v>
      </c>
      <c r="B19" s="1">
        <f>COUNTIF($6:$6,A19)</f>
        <v>7</v>
      </c>
    </row>
    <row r="20" spans="1:2" x14ac:dyDescent="0.25">
      <c r="A20" s="1" t="str">
        <v>SQL</v>
      </c>
      <c r="B20" s="1">
        <f>COUNTIF($6:$6,A20)</f>
        <v>4</v>
      </c>
    </row>
    <row r="21" spans="1:2" x14ac:dyDescent="0.25">
      <c r="A21" s="1" t="str">
        <v>Snowflake</v>
      </c>
      <c r="B21" s="1">
        <f>COUNTIF($6:$6,A21)</f>
        <v>5</v>
      </c>
    </row>
    <row r="22" spans="1:2" x14ac:dyDescent="0.25">
      <c r="A22" s="1" t="str">
        <v>Scala</v>
      </c>
      <c r="B22" s="1">
        <f>COUNTIF($6:$6,A22)</f>
        <v>5</v>
      </c>
    </row>
    <row r="23" spans="1:2" x14ac:dyDescent="0.25">
      <c r="A23" s="1" t="str">
        <v>Excel</v>
      </c>
      <c r="B23" s="1">
        <f>COUNTIF($6:$6,A23)</f>
        <v>2</v>
      </c>
    </row>
    <row r="24" spans="1:2" x14ac:dyDescent="0.25">
      <c r="A24" s="1" t="str">
        <v>Tableau</v>
      </c>
      <c r="B24" s="1">
        <f>COUNTIF($6:$6,A24)</f>
        <v>1</v>
      </c>
    </row>
    <row r="25" spans="1:2" x14ac:dyDescent="0.25">
      <c r="A25" s="1">
        <v>0</v>
      </c>
      <c r="B25" s="1">
        <f>COUNTIF($6:$6,A25)</f>
        <v>0</v>
      </c>
    </row>
  </sheetData>
  <sortState xmlns:xlrd2="http://schemas.microsoft.com/office/spreadsheetml/2017/richdata2" ref="B9:B25">
    <sortCondition ref="B9:B25"/>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Text_Search</vt:lpstr>
      <vt:lpstr>Text_Combination</vt:lpstr>
      <vt:lpstr>Text_Extraction</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Giorgi</cp:lastModifiedBy>
  <dcterms:created xsi:type="dcterms:W3CDTF">2015-06-05T18:17:20Z</dcterms:created>
  <dcterms:modified xsi:type="dcterms:W3CDTF">2025-11-21T13:56:24Z</dcterms:modified>
</cp:coreProperties>
</file>