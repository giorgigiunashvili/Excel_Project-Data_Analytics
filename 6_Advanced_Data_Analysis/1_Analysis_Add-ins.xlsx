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i\Desktop\Job strategy 2\Data Analyst_BI\Excel\Excel_Data_Analytics_Course-main\6_Advanced_Data_Analysis\"/>
    </mc:Choice>
  </mc:AlternateContent>
  <xr:revisionPtr revIDLastSave="0" documentId="13_ncr:1_{164EA545-8C80-4D33-9301-E1ABE9E1EC93}" xr6:coauthVersionLast="47" xr6:coauthVersionMax="47" xr10:uidLastSave="{00000000-0000-0000-0000-000000000000}"/>
  <bookViews>
    <workbookView xWindow="135" yWindow="255" windowWidth="15000" windowHeight="15840" firstSheet="6" activeTab="7" xr2:uid="{6C37AC85-509F-4D10-9DB1-F70D16D6FBAB}"/>
  </bookViews>
  <sheets>
    <sheet name="Sheet2" sheetId="17" r:id="rId1"/>
    <sheet name="Forecast_Original" sheetId="7" r:id="rId2"/>
    <sheet name="Forecast_Final" sheetId="8" state="hidden" r:id="rId3"/>
    <sheet name="Scenario Summary" sheetId="20" r:id="rId4"/>
    <sheet name="Answer Report 2" sheetId="24" r:id="rId5"/>
    <sheet name="Sensitivity Report 2" sheetId="25" r:id="rId6"/>
    <sheet name="Limits Report 2" sheetId="26" r:id="rId7"/>
    <sheet name="Answer Report 1" sheetId="27" r:id="rId8"/>
    <sheet name="What-If_Analysis" sheetId="3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8">'What-If_Analysis'!$C$3</definedName>
    <definedName name="bonus" localSheetId="8">'What-If_Analysis'!$C$4</definedName>
    <definedName name="raise" localSheetId="8">'What-If_Analysis'!$C$5</definedName>
    <definedName name="solver_adj" localSheetId="8" hidden="1">'What-If_Analysis'!$C$4:$C$5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'What-If_Analysis'!$C$4</definedName>
    <definedName name="solver_lhs2" localSheetId="8" hidden="1">'What-If_Analysis'!$C$5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'What-If_Analysis'!$C$14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hs1" localSheetId="8" hidden="1">0.2</definedName>
    <definedName name="solver_rhs2" localSheetId="8" hidden="1">0.05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6" hidden="1">2</definedName>
    <definedName name="solver_sho" localSheetId="11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3</definedName>
    <definedName name="solver_val" localSheetId="8" hidden="1">640000</definedName>
    <definedName name="solver_ver" localSheetId="8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369" i="17"/>
  <c r="C381" i="17"/>
  <c r="C393" i="17"/>
  <c r="C405" i="17"/>
  <c r="C417" i="17"/>
  <c r="C383" i="17"/>
  <c r="C372" i="17"/>
  <c r="C408" i="17"/>
  <c r="C401" i="17"/>
  <c r="C390" i="17"/>
  <c r="C414" i="17"/>
  <c r="C379" i="17"/>
  <c r="C403" i="17"/>
  <c r="C368" i="17"/>
  <c r="C404" i="17"/>
  <c r="C370" i="17"/>
  <c r="C382" i="17"/>
  <c r="C394" i="17"/>
  <c r="C406" i="17"/>
  <c r="C418" i="17"/>
  <c r="C371" i="17"/>
  <c r="C395" i="17"/>
  <c r="C407" i="17"/>
  <c r="C419" i="17"/>
  <c r="C384" i="17"/>
  <c r="C396" i="17"/>
  <c r="C420" i="17"/>
  <c r="C389" i="17"/>
  <c r="C378" i="17"/>
  <c r="C426" i="17"/>
  <c r="C367" i="17"/>
  <c r="C415" i="17"/>
  <c r="C380" i="17"/>
  <c r="C416" i="17"/>
  <c r="C373" i="17"/>
  <c r="C385" i="17"/>
  <c r="C397" i="17"/>
  <c r="C409" i="17"/>
  <c r="C421" i="17"/>
  <c r="C374" i="17"/>
  <c r="C386" i="17"/>
  <c r="C398" i="17"/>
  <c r="C410" i="17"/>
  <c r="C422" i="17"/>
  <c r="C375" i="17"/>
  <c r="C387" i="17"/>
  <c r="C399" i="17"/>
  <c r="C411" i="17"/>
  <c r="C423" i="17"/>
  <c r="C376" i="17"/>
  <c r="C388" i="17"/>
  <c r="C400" i="17"/>
  <c r="C412" i="17"/>
  <c r="C424" i="17"/>
  <c r="C377" i="17"/>
  <c r="C413" i="17"/>
  <c r="C425" i="17"/>
  <c r="C402" i="17"/>
  <c r="C391" i="17"/>
  <c r="C427" i="17"/>
  <c r="C392" i="17"/>
  <c r="C14" i="3" l="1"/>
  <c r="D427" i="17"/>
  <c r="D424" i="17"/>
  <c r="D411" i="17"/>
  <c r="E398" i="17"/>
  <c r="E385" i="17"/>
  <c r="E426" i="17"/>
  <c r="E419" i="17"/>
  <c r="E394" i="17"/>
  <c r="D379" i="17"/>
  <c r="E383" i="17"/>
  <c r="E391" i="17"/>
  <c r="D412" i="17"/>
  <c r="D399" i="17"/>
  <c r="D386" i="17"/>
  <c r="D373" i="17"/>
  <c r="D378" i="17"/>
  <c r="D407" i="17"/>
  <c r="E382" i="17"/>
  <c r="D414" i="17"/>
  <c r="D417" i="17"/>
  <c r="D391" i="17"/>
  <c r="E412" i="17"/>
  <c r="E399" i="17"/>
  <c r="E386" i="17"/>
  <c r="E373" i="17"/>
  <c r="E378" i="17"/>
  <c r="E407" i="17"/>
  <c r="D382" i="17"/>
  <c r="E414" i="17"/>
  <c r="E417" i="17"/>
  <c r="D402" i="17"/>
  <c r="E400" i="17"/>
  <c r="E387" i="17"/>
  <c r="D374" i="17"/>
  <c r="D416" i="17"/>
  <c r="D389" i="17"/>
  <c r="D395" i="17"/>
  <c r="D370" i="17"/>
  <c r="D390" i="17"/>
  <c r="E405" i="17"/>
  <c r="E402" i="17"/>
  <c r="D400" i="17"/>
  <c r="D387" i="17"/>
  <c r="E374" i="17"/>
  <c r="E416" i="17"/>
  <c r="E389" i="17"/>
  <c r="E395" i="17"/>
  <c r="E370" i="17"/>
  <c r="E390" i="17"/>
  <c r="D405" i="17"/>
  <c r="D425" i="17"/>
  <c r="E388" i="17"/>
  <c r="D375" i="17"/>
  <c r="D421" i="17"/>
  <c r="D380" i="17"/>
  <c r="D420" i="17"/>
  <c r="D371" i="17"/>
  <c r="D404" i="17"/>
  <c r="D401" i="17"/>
  <c r="D393" i="17"/>
  <c r="E406" i="17"/>
  <c r="D403" i="17"/>
  <c r="E372" i="17"/>
  <c r="D369" i="17"/>
  <c r="E427" i="17"/>
  <c r="E424" i="17"/>
  <c r="D398" i="17"/>
  <c r="D426" i="17"/>
  <c r="D394" i="17"/>
  <c r="D383" i="17"/>
  <c r="E425" i="17"/>
  <c r="D388" i="17"/>
  <c r="E375" i="17"/>
  <c r="E421" i="17"/>
  <c r="E380" i="17"/>
  <c r="E420" i="17"/>
  <c r="E371" i="17"/>
  <c r="E404" i="17"/>
  <c r="E401" i="17"/>
  <c r="E393" i="17"/>
  <c r="D413" i="17"/>
  <c r="D376" i="17"/>
  <c r="D422" i="17"/>
  <c r="D409" i="17"/>
  <c r="E415" i="17"/>
  <c r="D396" i="17"/>
  <c r="D418" i="17"/>
  <c r="D368" i="17"/>
  <c r="D408" i="17"/>
  <c r="E381" i="17"/>
  <c r="E413" i="17"/>
  <c r="E376" i="17"/>
  <c r="E422" i="17"/>
  <c r="E409" i="17"/>
  <c r="D415" i="17"/>
  <c r="E396" i="17"/>
  <c r="E418" i="17"/>
  <c r="E368" i="17"/>
  <c r="E408" i="17"/>
  <c r="D381" i="17"/>
  <c r="D392" i="17"/>
  <c r="D377" i="17"/>
  <c r="E423" i="17"/>
  <c r="D410" i="17"/>
  <c r="D397" i="17"/>
  <c r="E367" i="17"/>
  <c r="D384" i="17"/>
  <c r="D406" i="17"/>
  <c r="E403" i="17"/>
  <c r="D372" i="17"/>
  <c r="E369" i="17"/>
  <c r="E392" i="17"/>
  <c r="E377" i="17"/>
  <c r="D423" i="17"/>
  <c r="E410" i="17"/>
  <c r="E397" i="17"/>
  <c r="D367" i="17"/>
  <c r="E384" i="17"/>
  <c r="E411" i="17"/>
  <c r="D385" i="17"/>
  <c r="D419" i="17"/>
  <c r="E379" i="17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<sst xmlns="http://schemas.openxmlformats.org/spreadsheetml/2006/main" count="288" uniqueCount="95">
  <si>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</si>
  <si>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</si>
  <si>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</si>
  <si>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</si>
  <si>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</si>
  <si>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</si>
  <si>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</si>
  <si>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</si>
  <si>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</si>
  <si>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</si>
  <si>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</si>
  <si>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</si>
  <si>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</si>
  <si>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</si>
  <si>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</si>
  <si>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</si>
  <si>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</si>
  <si>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</si>
  <si>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</si>
  <si>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</si>
  <si>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</si>
  <si>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</si>
  <si>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</si>
  <si>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</si>
  <si>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</si>
  <si>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</si>
  <si>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</si>
  <si>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</si>
  <si>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</si>
  <si>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</si>
  <si>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</si>
  <si>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</si>
  <si>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</si>
  <si>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</si>
  <si>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</si>
  <si>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</si>
  <si>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</si>
  <si>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</si>
  <si>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</si>
  <si>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</si>
  <si>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</si>
  <si>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</si>
  <si>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</si>
  <si>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</si>
  <si>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</si>
  <si>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</si>
  <si>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</si>
  <si>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</si>
  <si>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</si>
  <si>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</si>
  <si>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</si>
  <si>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</si>
  <si>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</si>
  <si>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</si>
  <si>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</si>
  <si>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</si>
  <si>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</si>
  <si>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</si>
  <si>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</si>
  <si>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</si>
  <si>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</si>
  <si>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</si>
  <si>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</si>
  <si>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</si>
  <si>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</si>
  <si>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</si>
  <si>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</si>
  <si>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</si>
  <si>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</si>
  <si>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</si>
  <si>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</si>
  <si>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</si>
  <si>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</si>
  <si>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</si>
  <si>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</si>
  <si>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</si>
  <si>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</si>
  <si>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</si>
  <si>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Giorgi on 12/6/2025</t>
  </si>
  <si>
    <t>job2</t>
  </si>
  <si>
    <t>job3</t>
  </si>
  <si>
    <t>Created by Giorgi on 12/6/2025
Modified by Giorgi on 12/6/2025</t>
  </si>
  <si>
    <t xml:space="preserve"> 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</si>
  <si>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</si>
  <si>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</si>
  <si>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</si>
  <si>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</si>
  <si>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</si>
  <si>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</si>
  <si>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</si>
  <si>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12/6/2025 5:13:12 AM</t>
  </si>
  <si>
    <t>Solution Time: 0.016 Seconds.</t>
  </si>
  <si>
    <t>Report Created: 12/6/2025 5:24:17 AM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</si>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</sst>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88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  <xf numFmtId="164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304857859077702E-2"/>
          <c:y val="4.7619047619047616E-2"/>
          <c:w val="0.9112852853670923"/>
          <c:h val="0.61961652520707644"/>
        </c:manualLayout>
      </c:layou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0-4F12-AA50-AB1C6653DAF9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70-4F12-AA50-AB1C6653DAF9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70-4F12-AA50-AB1C6653DAF9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70-4F12-AA50-AB1C6653D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856944"/>
        <c:axId val="963868464"/>
      </c:lineChart>
      <c:catAx>
        <c:axId val="96385694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868464"/>
        <c:crosses val="autoZero"/>
        <c:auto val="1"/>
        <c:lblAlgn val="ctr"/>
        <c:lblOffset val="100"/>
        <c:noMultiLvlLbl val="0"/>
      </c:catAx>
      <c:valAx>
        <c:axId val="9638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85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442913</xdr:colOff>
      <xdr:row>9</xdr:row>
      <xdr:rowOff>1</xdr:rowOff>
    </xdr:from>
    <xdr:to>
      <xdr:col>7</xdr:col>
      <xdr:colOff>59532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36E0B-44BC-E622-B750-23662647C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73C17F-B875-422D-BC89-4BB77F9218FB}" name="Table3" displayName="Table3" ref="A1:E427" totalsRowShown="0">
  <autoFilter ref="A1:E427" xr:uid="{3D73C17F-B875-422D-BC89-4BB77F9218FB}"/>
  <tableColumns count="5">
    <tableColumn id="1" xr3:uid="{BE6DF87C-85FD-4FC5-A314-60FA0D084208}" name="Date" dataDxfId="2"/>
    <tableColumn id="2" xr3:uid="{F6E5BE15-41EE-4895-8471-F6CB10B079CD}" name="Job Count"/>
    <tableColumn id="3" xr3:uid="{CA9D417F-E120-4018-B9D6-5A80AA65AFA6}" name="Forecast(Job Count)">
      <calculatedColumnFormula>_xlfn.FORECAST.ETS(A2,$B$2:$B$366,$A$2:$A$366,1,1)</calculatedColumnFormula>
    </tableColumn>
    <tableColumn id="4" xr3:uid="{8E4664C9-3CFC-4F41-AF72-1738EB189B8C}" name="Lower Confidence Bound(Job Count)" dataDxfId="1">
      <calculatedColumnFormula>C2-_xlfn.FORECAST.ETS.CONFINT(A2,$B$2:$B$366,$A$2:$A$366,0.95,1,1)</calculatedColumnFormula>
    </tableColumn>
    <tableColumn id="5" xr3:uid="{B4CAF89B-CB17-4F21-8EE2-B43313839571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30B3-B24C-471E-896F-7CFA3115455C}">
  <dimension ref="A1:E427"/>
  <sheetViews>
    <sheetView zoomScale="80" zoomScaleNormal="80" workbookViewId="0"/>
  </sheetViews>
  <sheetFormatPr defaultRowHeight="15" x14ac:dyDescent="0.25"/>
  <cols>
    <col min="2" max="2" width="12.140625" customWidth="1"/>
    <col min="3" max="3" width="21.28515625" customWidth="1"/>
    <col min="4" max="5" width="36.140625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25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25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25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25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25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25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25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25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25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25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25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25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25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25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25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25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25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25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25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25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25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25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25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25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25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25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25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25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25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25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25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25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25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25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25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25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25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25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25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25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25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25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25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25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25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25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25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25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25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25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25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25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25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25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25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25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25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25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25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25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activeCell="B1" activeCellId="2" sqref="A1:B1 A1:A1048576 B1:B1048576"/>
    </sheetView>
  </sheetViews>
  <sheetFormatPr defaultRowHeight="15" x14ac:dyDescent="0.25"/>
  <cols>
    <col min="1" max="1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B039-BD5E-4EE0-B9FA-3CF2FFDA3B6F}">
  <sheetPr>
    <outlinePr summaryBelow="0"/>
  </sheetPr>
  <dimension ref="B1:G18"/>
  <sheetViews>
    <sheetView showGridLines="0" workbookViewId="0">
      <selection activeCell="F18" sqref="F18"/>
    </sheetView>
  </sheetViews>
  <sheetFormatPr defaultRowHeight="15" outlineLevelRow="1" outlineLevelCol="1" x14ac:dyDescent="0.25"/>
  <cols>
    <col min="3" max="3" width="10.85546875" bestFit="1" customWidth="1"/>
    <col min="4" max="7" width="12.42578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79</v>
      </c>
      <c r="G3" s="28" t="s">
        <v>80</v>
      </c>
    </row>
    <row r="4" spans="2:7" ht="45" hidden="1" outlineLevel="1" x14ac:dyDescent="0.25">
      <c r="B4" s="73"/>
      <c r="C4" s="73"/>
      <c r="D4" s="67"/>
      <c r="E4" s="77" t="s">
        <v>78</v>
      </c>
      <c r="F4" s="77" t="s">
        <v>78</v>
      </c>
      <c r="G4" s="77" t="s">
        <v>81</v>
      </c>
    </row>
    <row r="5" spans="2:7" x14ac:dyDescent="0.25">
      <c r="B5" s="25" t="s">
        <v>23</v>
      </c>
      <c r="C5" s="25"/>
      <c r="D5" s="72"/>
      <c r="E5" s="72"/>
      <c r="F5" s="72"/>
      <c r="G5" s="72"/>
    </row>
    <row r="6" spans="2:7" outlineLevel="1" x14ac:dyDescent="0.25">
      <c r="B6" s="73"/>
      <c r="C6" s="73" t="s">
        <v>14</v>
      </c>
      <c r="D6" s="68">
        <v>120000</v>
      </c>
      <c r="E6" s="74">
        <v>100000</v>
      </c>
      <c r="F6" s="74">
        <v>80000</v>
      </c>
      <c r="G6" s="74">
        <v>120000</v>
      </c>
    </row>
    <row r="7" spans="2:7" outlineLevel="1" x14ac:dyDescent="0.25">
      <c r="B7" s="73"/>
      <c r="C7" s="73" t="s">
        <v>15</v>
      </c>
      <c r="D7" s="69">
        <v>0.05</v>
      </c>
      <c r="E7" s="75">
        <v>0.1</v>
      </c>
      <c r="F7" s="75">
        <v>0.15</v>
      </c>
      <c r="G7" s="75">
        <v>0.05</v>
      </c>
    </row>
    <row r="8" spans="2:7" outlineLevel="1" x14ac:dyDescent="0.25">
      <c r="B8" s="73"/>
      <c r="C8" s="73" t="s">
        <v>16</v>
      </c>
      <c r="D8" s="70">
        <v>8.0000000000000002E-3</v>
      </c>
      <c r="E8" s="76">
        <v>1.4999999999999999E-2</v>
      </c>
      <c r="F8" s="76">
        <v>1.2E-2</v>
      </c>
      <c r="G8" s="76">
        <v>8.0000000000000002E-3</v>
      </c>
    </row>
    <row r="9" spans="2:7" x14ac:dyDescent="0.25">
      <c r="B9" s="25" t="s">
        <v>25</v>
      </c>
      <c r="C9" s="25"/>
      <c r="D9" s="72"/>
      <c r="E9" s="72"/>
      <c r="F9" s="72"/>
      <c r="G9" s="72"/>
    </row>
    <row r="10" spans="2:7" outlineLevel="1" x14ac:dyDescent="0.25">
      <c r="B10" s="73"/>
      <c r="C10" s="73" t="s">
        <v>31</v>
      </c>
      <c r="D10" s="68">
        <v>110000</v>
      </c>
      <c r="E10" s="68">
        <v>110000</v>
      </c>
      <c r="F10" s="68">
        <v>110000</v>
      </c>
      <c r="G10" s="68">
        <v>110000</v>
      </c>
    </row>
    <row r="11" spans="2:7" outlineLevel="1" x14ac:dyDescent="0.25">
      <c r="B11" s="73"/>
      <c r="C11" s="73" t="s">
        <v>36</v>
      </c>
      <c r="D11" s="68">
        <v>111650</v>
      </c>
      <c r="E11" s="68">
        <v>111650</v>
      </c>
      <c r="F11" s="68">
        <v>111650</v>
      </c>
      <c r="G11" s="68">
        <v>111650</v>
      </c>
    </row>
    <row r="12" spans="2:7" outlineLevel="1" x14ac:dyDescent="0.25">
      <c r="B12" s="73"/>
      <c r="C12" s="73" t="s">
        <v>32</v>
      </c>
      <c r="D12" s="68">
        <v>113324.75</v>
      </c>
      <c r="E12" s="68">
        <v>113324.75</v>
      </c>
      <c r="F12" s="68">
        <v>113324.75</v>
      </c>
      <c r="G12" s="68">
        <v>113324.75</v>
      </c>
    </row>
    <row r="13" spans="2:7" outlineLevel="1" x14ac:dyDescent="0.25">
      <c r="B13" s="73"/>
      <c r="C13" s="73" t="s">
        <v>33</v>
      </c>
      <c r="D13" s="68">
        <v>115024.62125</v>
      </c>
      <c r="E13" s="68">
        <v>115024.62125</v>
      </c>
      <c r="F13" s="68">
        <v>115024.62125</v>
      </c>
      <c r="G13" s="68">
        <v>115024.62125</v>
      </c>
    </row>
    <row r="14" spans="2:7" outlineLevel="1" x14ac:dyDescent="0.25">
      <c r="B14" s="73"/>
      <c r="C14" s="73" t="s">
        <v>34</v>
      </c>
      <c r="D14" s="68">
        <v>116749.99056875</v>
      </c>
      <c r="E14" s="68">
        <v>116749.99056875</v>
      </c>
      <c r="F14" s="68">
        <v>116749.99056875</v>
      </c>
      <c r="G14" s="68">
        <v>116749.99056875</v>
      </c>
    </row>
    <row r="15" spans="2:7" ht="15.75" outlineLevel="1" thickBot="1" x14ac:dyDescent="0.3">
      <c r="B15" s="26"/>
      <c r="C15" s="26" t="s">
        <v>35</v>
      </c>
      <c r="D15" s="71">
        <v>566749.36181875004</v>
      </c>
      <c r="E15" s="71">
        <v>566749.36181875004</v>
      </c>
      <c r="F15" s="71">
        <v>566749.36181875004</v>
      </c>
      <c r="G15" s="71">
        <v>566749.36181875004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5899-8307-4911-A41D-CFB325D7E03E}">
  <dimension ref="A1:G27"/>
  <sheetViews>
    <sheetView showGridLines="0" workbookViewId="0">
      <selection activeCell="G36" sqref="G36"/>
    </sheetView>
  </sheetViews>
  <sheetFormatPr defaultRowHeight="15" outlineLevelRow="1" x14ac:dyDescent="0.25"/>
  <cols>
    <col min="1" max="1" width="2.28515625" customWidth="1"/>
    <col min="2" max="2" width="6.140625" bestFit="1" customWidth="1"/>
    <col min="3" max="3" width="10.85546875" bestFit="1" customWidth="1"/>
    <col min="4" max="4" width="13.5703125" bestFit="1" customWidth="1"/>
    <col min="5" max="5" width="13.28515625" bestFit="1" customWidth="1"/>
    <col min="6" max="6" width="7.7109375" bestFit="1" customWidth="1"/>
    <col min="7" max="7" width="5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90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91</v>
      </c>
    </row>
    <row r="8" spans="1:5" hidden="1" outlineLevel="1" x14ac:dyDescent="0.25">
      <c r="A8" s="7"/>
      <c r="B8" t="s">
        <v>83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.75" thickBot="1" x14ac:dyDescent="0.3">
      <c r="B16" s="78" t="s">
        <v>29</v>
      </c>
      <c r="C16" s="78" t="s">
        <v>35</v>
      </c>
      <c r="D16" s="81">
        <v>566749.36179999996</v>
      </c>
      <c r="E16" s="81">
        <v>639999.95109999995</v>
      </c>
    </row>
    <row r="19" spans="1:7" ht="15.75" thickBot="1" x14ac:dyDescent="0.3">
      <c r="A19" t="s">
        <v>54</v>
      </c>
    </row>
    <row r="20" spans="1:7" ht="15.75" thickBot="1" x14ac:dyDescent="0.3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25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.75" thickBot="1" x14ac:dyDescent="0.3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.75" thickBot="1" x14ac:dyDescent="0.3">
      <c r="B27" s="78" t="s">
        <v>29</v>
      </c>
      <c r="C27" s="78" t="s">
        <v>35</v>
      </c>
      <c r="D27" s="81">
        <v>639999.94999999995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0C5F-2A98-4ACD-915D-81AE057E88C4}">
  <dimension ref="A1:E15"/>
  <sheetViews>
    <sheetView showGridLines="0" workbookViewId="0"/>
  </sheetViews>
  <sheetFormatPr defaultRowHeight="15" x14ac:dyDescent="0.25"/>
  <cols>
    <col min="1" max="1" width="2.28515625" customWidth="1"/>
    <col min="2" max="2" width="6.140625" bestFit="1" customWidth="1"/>
    <col min="3" max="3" width="10.85546875" bestFit="1" customWidth="1"/>
    <col min="4" max="4" width="12" bestFit="1" customWidth="1"/>
    <col min="5" max="5" width="9.7109375" bestFit="1" customWidth="1"/>
  </cols>
  <sheetData>
    <row r="1" spans="1:5" x14ac:dyDescent="0.25">
      <c r="A1" s="7" t="s">
        <v>84</v>
      </c>
    </row>
    <row r="2" spans="1:5" x14ac:dyDescent="0.25">
      <c r="A2" s="7" t="s">
        <v>38</v>
      </c>
    </row>
    <row r="3" spans="1:5" x14ac:dyDescent="0.25">
      <c r="A3" s="7" t="s">
        <v>90</v>
      </c>
    </row>
    <row r="6" spans="1:5" ht="15.75" thickBot="1" x14ac:dyDescent="0.3">
      <c r="A6" t="s">
        <v>54</v>
      </c>
    </row>
    <row r="7" spans="1:5" x14ac:dyDescent="0.25">
      <c r="B7" s="84"/>
      <c r="C7" s="84"/>
      <c r="D7" s="84" t="s">
        <v>85</v>
      </c>
      <c r="E7" s="84" t="s">
        <v>86</v>
      </c>
    </row>
    <row r="8" spans="1:5" ht="15.75" thickBot="1" x14ac:dyDescent="0.3">
      <c r="B8" s="85" t="s">
        <v>50</v>
      </c>
      <c r="C8" s="85" t="s">
        <v>51</v>
      </c>
      <c r="D8" s="85" t="s">
        <v>69</v>
      </c>
      <c r="E8" s="85" t="s">
        <v>87</v>
      </c>
    </row>
    <row r="9" spans="1:5" x14ac:dyDescent="0.25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.75" thickBot="1" x14ac:dyDescent="0.3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.75" thickBot="1" x14ac:dyDescent="0.3">
      <c r="A12" t="s">
        <v>56</v>
      </c>
    </row>
    <row r="13" spans="1:5" x14ac:dyDescent="0.25">
      <c r="B13" s="84"/>
      <c r="C13" s="84"/>
      <c r="D13" s="84" t="s">
        <v>85</v>
      </c>
      <c r="E13" s="84" t="s">
        <v>88</v>
      </c>
    </row>
    <row r="14" spans="1:5" ht="15.75" thickBot="1" x14ac:dyDescent="0.3">
      <c r="B14" s="85" t="s">
        <v>50</v>
      </c>
      <c r="C14" s="85" t="s">
        <v>51</v>
      </c>
      <c r="D14" s="85" t="s">
        <v>69</v>
      </c>
      <c r="E14" s="85" t="s">
        <v>89</v>
      </c>
    </row>
    <row r="15" spans="1:5" ht="15.75" thickBot="1" x14ac:dyDescent="0.3">
      <c r="B15" s="78" t="s">
        <v>29</v>
      </c>
      <c r="C15" s="78" t="s">
        <v>35</v>
      </c>
      <c r="D15" s="86">
        <v>639999.94999999995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0DED-2C69-405D-AFDB-04C5C801ED26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4.7109375" bestFit="1" customWidth="1"/>
    <col min="3" max="3" width="8.28515625" bestFit="1" customWidth="1"/>
    <col min="4" max="4" width="10" bestFit="1" customWidth="1"/>
    <col min="5" max="5" width="2.28515625" customWidth="1"/>
    <col min="6" max="6" width="6.42578125" bestFit="1" customWidth="1"/>
    <col min="7" max="7" width="12.140625" bestFit="1" customWidth="1"/>
    <col min="8" max="8" width="2.28515625" customWidth="1"/>
    <col min="9" max="9" width="6.42578125" bestFit="1" customWidth="1"/>
    <col min="10" max="10" width="9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90</v>
      </c>
    </row>
    <row r="5" spans="1:10" ht="15.75" thickBot="1" x14ac:dyDescent="0.3"/>
    <row r="6" spans="1:10" x14ac:dyDescent="0.25">
      <c r="B6" s="84"/>
      <c r="C6" s="84" t="s">
        <v>71</v>
      </c>
      <c r="D6" s="84"/>
    </row>
    <row r="7" spans="1:10" ht="15.75" thickBot="1" x14ac:dyDescent="0.3">
      <c r="B7" s="85" t="s">
        <v>50</v>
      </c>
      <c r="C7" s="85" t="s">
        <v>51</v>
      </c>
      <c r="D7" s="85" t="s">
        <v>69</v>
      </c>
    </row>
    <row r="8" spans="1:10" ht="15.75" thickBot="1" x14ac:dyDescent="0.3">
      <c r="B8" s="78" t="s">
        <v>29</v>
      </c>
      <c r="C8" s="78" t="s">
        <v>35</v>
      </c>
      <c r="D8" s="81">
        <v>639999.95109999995</v>
      </c>
    </row>
    <row r="10" spans="1:10" ht="15.75" thickBot="1" x14ac:dyDescent="0.3"/>
    <row r="11" spans="1:10" x14ac:dyDescent="0.25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.75" thickBot="1" x14ac:dyDescent="0.3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25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521727.88</v>
      </c>
      <c r="I13" s="80" t="e">
        <v>#N/A</v>
      </c>
      <c r="J13" s="80" t="e">
        <v>#N/A</v>
      </c>
    </row>
    <row r="14" spans="1:10" ht="15.75" thickBot="1" x14ac:dyDescent="0.3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</v>
      </c>
      <c r="I14" s="78"/>
      <c r="J14" s="7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83B9-D129-4F23-B242-0C1D12185D61}">
  <dimension ref="A1:G29"/>
  <sheetViews>
    <sheetView showGridLines="0" tabSelected="1" workbookViewId="0"/>
  </sheetViews>
  <sheetFormatPr defaultRowHeight="15" outlineLevelRow="1" x14ac:dyDescent="0.25"/>
  <cols>
    <col min="1" max="1" width="2.28515625" customWidth="1"/>
    <col min="2" max="2" width="6.140625" bestFit="1" customWidth="1"/>
    <col min="3" max="3" width="10.85546875" bestFit="1" customWidth="1"/>
    <col min="4" max="4" width="13.5703125" bestFit="1" customWidth="1"/>
    <col min="5" max="5" width="13.28515625" bestFit="1" customWidth="1"/>
    <col min="6" max="6" width="11.28515625" bestFit="1" customWidth="1"/>
    <col min="7" max="7" width="12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92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.75" thickBot="1" x14ac:dyDescent="0.3">
      <c r="B16" s="78" t="s">
        <v>29</v>
      </c>
      <c r="C16" s="78" t="s">
        <v>35</v>
      </c>
      <c r="D16" s="81">
        <v>640000.39969999995</v>
      </c>
      <c r="E16" s="81">
        <v>640000.39969999995</v>
      </c>
    </row>
    <row r="19" spans="1:7" ht="15.75" thickBot="1" x14ac:dyDescent="0.3">
      <c r="A19" t="s">
        <v>54</v>
      </c>
    </row>
    <row r="20" spans="1:7" ht="15.75" thickBot="1" x14ac:dyDescent="0.3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25">
      <c r="B21" s="80" t="s">
        <v>60</v>
      </c>
      <c r="C21" s="80" t="s">
        <v>15</v>
      </c>
      <c r="D21" s="82">
        <v>0.2</v>
      </c>
      <c r="E21" s="82">
        <v>0.2</v>
      </c>
      <c r="F21" s="80" t="s">
        <v>61</v>
      </c>
    </row>
    <row r="22" spans="1:7" ht="15.75" thickBot="1" x14ac:dyDescent="0.3">
      <c r="B22" s="78" t="s">
        <v>62</v>
      </c>
      <c r="C22" s="78" t="s">
        <v>16</v>
      </c>
      <c r="D22" s="83">
        <v>3.2275067736405254E-2</v>
      </c>
      <c r="E22" s="83">
        <v>3.2275067736405254E-2</v>
      </c>
      <c r="F22" s="7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25">
      <c r="B27" s="80" t="s">
        <v>29</v>
      </c>
      <c r="C27" s="80" t="s">
        <v>35</v>
      </c>
      <c r="D27" s="87">
        <v>640000.4</v>
      </c>
      <c r="E27" s="80" t="s">
        <v>63</v>
      </c>
      <c r="F27" s="80" t="s">
        <v>64</v>
      </c>
      <c r="G27" s="80">
        <v>0</v>
      </c>
    </row>
    <row r="28" spans="1:7" x14ac:dyDescent="0.25">
      <c r="B28" s="80" t="s">
        <v>60</v>
      </c>
      <c r="C28" s="80" t="s">
        <v>15</v>
      </c>
      <c r="D28" s="82">
        <v>0.2</v>
      </c>
      <c r="E28" s="80" t="s">
        <v>93</v>
      </c>
      <c r="F28" s="80" t="s">
        <v>64</v>
      </c>
      <c r="G28" s="80">
        <v>0</v>
      </c>
    </row>
    <row r="29" spans="1:7" ht="15.75" thickBot="1" x14ac:dyDescent="0.3">
      <c r="B29" s="78" t="s">
        <v>62</v>
      </c>
      <c r="C29" s="78" t="s">
        <v>16</v>
      </c>
      <c r="D29" s="83">
        <v>3.2275067736405254E-2</v>
      </c>
      <c r="E29" s="78" t="s">
        <v>94</v>
      </c>
      <c r="F29" s="78" t="s">
        <v>66</v>
      </c>
      <c r="G29" s="78">
        <v>1.7724932263594749E-2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I14"/>
  <sheetViews>
    <sheetView zoomScaleNormal="100" workbookViewId="0">
      <selection activeCell="C9" sqref="C9"/>
    </sheetView>
  </sheetViews>
  <sheetFormatPr defaultRowHeight="15" x14ac:dyDescent="0.25"/>
  <cols>
    <col min="2" max="2" width="11.5703125" customWidth="1"/>
    <col min="3" max="3" width="48.5703125" bestFit="1" customWidth="1"/>
    <col min="6" max="6" width="10" customWidth="1"/>
    <col min="7" max="7" width="6.7109375" customWidth="1"/>
    <col min="8" max="8" width="11.5703125" customWidth="1"/>
  </cols>
  <sheetData>
    <row r="1" spans="2:9" ht="15.75" thickBot="1" x14ac:dyDescent="0.3"/>
    <row r="2" spans="2:9" x14ac:dyDescent="0.2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9" x14ac:dyDescent="0.2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9" x14ac:dyDescent="0.25">
      <c r="B4" s="1" t="s">
        <v>1</v>
      </c>
      <c r="C4" s="46">
        <v>0.2</v>
      </c>
      <c r="E4" s="43" t="s">
        <v>19</v>
      </c>
      <c r="F4" s="38">
        <v>80000</v>
      </c>
      <c r="G4" s="39">
        <v>0.15</v>
      </c>
      <c r="H4" s="44">
        <v>1.2E-2</v>
      </c>
    </row>
    <row r="5" spans="2:9" ht="15.75" thickBot="1" x14ac:dyDescent="0.3">
      <c r="B5" s="3" t="s">
        <v>2</v>
      </c>
      <c r="C5" s="47">
        <v>3.2275067736405254E-2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9" ht="30.75" thickBot="1" x14ac:dyDescent="0.3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9" x14ac:dyDescent="0.25">
      <c r="B7" s="65" t="s">
        <v>5</v>
      </c>
      <c r="C7" s="66"/>
    </row>
    <row r="8" spans="2:9" x14ac:dyDescent="0.25">
      <c r="B8" s="5" t="s">
        <v>6</v>
      </c>
      <c r="C8" s="6" t="s">
        <v>7</v>
      </c>
    </row>
    <row r="9" spans="2:9" x14ac:dyDescent="0.25">
      <c r="B9" s="4">
        <v>0</v>
      </c>
      <c r="C9" s="2">
        <f>(base*(1+raise)^B9)*(1+bonus)</f>
        <v>120000</v>
      </c>
      <c r="I9" t="s">
        <v>82</v>
      </c>
    </row>
    <row r="10" spans="2:9" x14ac:dyDescent="0.25">
      <c r="B10" s="4">
        <v>1</v>
      </c>
      <c r="C10" s="2">
        <f>(base*(1+raise)^B10)*(1+bonus)</f>
        <v>123873.00812836862</v>
      </c>
    </row>
    <row r="11" spans="2:9" x14ac:dyDescent="0.25">
      <c r="B11" s="4">
        <v>2</v>
      </c>
      <c r="C11" s="2">
        <f>(base*(1+raise)^B11)*(1+bonus)</f>
        <v>127871.01785642399</v>
      </c>
    </row>
    <row r="12" spans="2:9" x14ac:dyDescent="0.25">
      <c r="B12" s="4">
        <v>3</v>
      </c>
      <c r="C12" s="2">
        <f>(base*(1+raise)^B12)*(1+bonus)</f>
        <v>131998.06361926315</v>
      </c>
    </row>
    <row r="13" spans="2:9" ht="15.75" thickBot="1" x14ac:dyDescent="0.3">
      <c r="B13" s="36">
        <v>4</v>
      </c>
      <c r="C13" s="37">
        <f>(base*(1+raise)^B13)*(1+bonus)</f>
        <v>136258.3100636492</v>
      </c>
    </row>
    <row r="14" spans="2:9" ht="16.5" thickTop="1" thickBot="1" x14ac:dyDescent="0.3">
      <c r="B14" s="34" t="s">
        <v>3</v>
      </c>
      <c r="C14" s="35">
        <f>SUM(C9:C13)</f>
        <v>640000.39966770494</v>
      </c>
    </row>
  </sheetData>
  <scenarios current="0" show="2" sqref="C9:C14">
    <scenario name="Job 1" locked="1" count="3" user="Giorgi" comment="Created by Giorgi on 12/6/2025">
      <inputCells r="C3" val="100000" numFmtId="164"/>
      <inputCells r="C4" val="0.1" numFmtId="9"/>
      <inputCells r="C5" val="0.015" numFmtId="165"/>
    </scenario>
    <scenario name="job2" locked="1" count="3" user="Giorgi" comment="Created by Giorgi on 12/6/2025">
      <inputCells r="C3" val="80000" numFmtId="164"/>
      <inputCells r="C4" val="0.15" numFmtId="9"/>
      <inputCells r="C5" val="0.012" numFmtId="165"/>
    </scenario>
    <scenario name="job3" locked="1" count="3" user="Giorgi" comment="Created by Giorgi on 12/6/2025_x000a_Modified by Giorgi on 12/6/2025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I15" sqref="I15"/>
    </sheetView>
  </sheetViews>
  <sheetFormatPr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.75" thickBot="1" x14ac:dyDescent="0.3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.75" thickBot="1" x14ac:dyDescent="0.3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.75" thickBot="1" x14ac:dyDescent="0.3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5"/>
      <c r="C6" s="55" t="s">
        <v>71</v>
      </c>
      <c r="D6" s="55"/>
    </row>
    <row r="7" spans="1:10" ht="15.75" thickBot="1" x14ac:dyDescent="0.3">
      <c r="B7" s="56" t="s">
        <v>50</v>
      </c>
      <c r="C7" s="56" t="s">
        <v>51</v>
      </c>
      <c r="D7" s="56" t="s">
        <v>69</v>
      </c>
    </row>
    <row r="8" spans="1:10" ht="15.75" thickBot="1" x14ac:dyDescent="0.3">
      <c r="B8" s="48" t="s">
        <v>29</v>
      </c>
      <c r="C8" s="48" t="s">
        <v>35</v>
      </c>
      <c r="D8" s="51">
        <v>640000.63710000005</v>
      </c>
    </row>
    <row r="10" spans="1:10" ht="15.75" thickBot="1" x14ac:dyDescent="0.3"/>
    <row r="11" spans="1:10" x14ac:dyDescent="0.2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.75" thickBot="1" x14ac:dyDescent="0.3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.75" thickBot="1" x14ac:dyDescent="0.3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Sheet2</vt:lpstr>
      <vt:lpstr>Forecast_Original</vt:lpstr>
      <vt:lpstr>Forecast_Final</vt:lpstr>
      <vt:lpstr>Scenario Summary</vt:lpstr>
      <vt:lpstr>Answer Report 2</vt:lpstr>
      <vt:lpstr>Sensitivity Report 2</vt:lpstr>
      <vt:lpstr>Limits Report 2</vt:lpstr>
      <vt:lpstr>Answer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Giorgi</cp:lastModifiedBy>
  <dcterms:created xsi:type="dcterms:W3CDTF">2024-08-08T18:34:47Z</dcterms:created>
  <dcterms:modified xsi:type="dcterms:W3CDTF">2025-12-06T13:36:20Z</dcterms:modified>
</cp:coreProperties>
</file>